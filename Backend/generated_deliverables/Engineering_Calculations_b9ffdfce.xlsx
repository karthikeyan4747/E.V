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Generate a presentation and word approval note on renewable ... | Generated: 2026-09-01 01:33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/ Scope</t>
        </is>
      </c>
      <c r="B5" s="5" t="inlineStr">
        <is>
          <t>Generate a presentation and word approval note on renewable ...</t>
        </is>
      </c>
    </row>
    <row r="6">
      <c r="A6" s="4" t="inlineStr">
        <is>
          <t>Audience</t>
        </is>
      </c>
      <c r="B6" s="5" t="inlineStr">
        <is>
          <t>Engineering Review Board</t>
        </is>
      </c>
    </row>
    <row r="7">
      <c r="A7" s="4" t="inlineStr">
        <is>
          <t>Total Metrics / Parameters</t>
        </is>
      </c>
      <c r="B7" s="5" t="inlineStr">
        <is>
          <t>24</t>
        </is>
      </c>
    </row>
    <row r="8">
      <c r="A8" s="4" t="inlineStr">
        <is>
          <t>Total Key Findings</t>
        </is>
      </c>
      <c r="B8" s="5" t="inlineStr">
        <is>
          <t>19</t>
        </is>
      </c>
    </row>
    <row r="9">
      <c r="A9" s="4" t="inlineStr">
        <is>
          <t>Total Risks Flagged</t>
        </is>
      </c>
      <c r="B9" s="5" t="inlineStr">
        <is>
          <t>11</t>
        </is>
      </c>
    </row>
    <row r="10">
      <c r="A10" s="4" t="inlineStr">
        <is>
          <t>Air-Gap Security Verification</t>
        </is>
      </c>
      <c r="B10" s="5" t="inlineStr">
        <is>
          <t>100% On-Premises Sovereign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  <row r="6">
      <c r="A6" s="5" t="n">
        <v>5</v>
      </c>
      <c r="B6" s="5" t="inlineStr">
        <is>
          <t>Line 14-P-102 nominal wall thickness: 12.7 mm</t>
        </is>
      </c>
      <c r="C6" s="5" t="n">
        <v>14</v>
      </c>
      <c r="D6" s="5" t="inlineStr">
        <is>
          <t>Standard Units</t>
        </is>
      </c>
      <c r="E6" s="5">
        <f>C6*0.05</f>
        <v/>
      </c>
      <c r="F6" s="5" t="inlineStr">
        <is>
          <t>NORMAL</t>
        </is>
      </c>
    </row>
    <row r="7">
      <c r="A7" s="5" t="n">
        <v>6</v>
      </c>
      <c r="B7" s="5" t="inlineStr">
        <is>
          <t>Measured minimum thickness at Elbow EL-04: 6.8 mm due to naphthenic acid corrosion</t>
        </is>
      </c>
      <c r="C7" s="5" t="n">
        <v>4</v>
      </c>
      <c r="D7" s="5" t="inlineStr">
        <is>
          <t>Standard Units</t>
        </is>
      </c>
      <c r="E7" s="5">
        <f>C7*0.05</f>
        <v/>
      </c>
      <c r="F7" s="5" t="inlineStr">
        <is>
          <t>NORMAL</t>
        </is>
      </c>
    </row>
    <row r="8">
      <c r="A8" s="5" t="n">
        <v>7</v>
      </c>
      <c r="B8" s="5" t="inlineStr">
        <is>
          <t>Operating pressure: 18.5 bar, Operating temperature: 340°C</t>
        </is>
      </c>
      <c r="C8" s="5" t="n">
        <v>18.5</v>
      </c>
      <c r="D8" s="5" t="inlineStr">
        <is>
          <t>Standard Units</t>
        </is>
      </c>
      <c r="E8" s="5">
        <f>C8*0.05</f>
        <v/>
      </c>
      <c r="F8" s="5" t="inlineStr">
        <is>
          <t>NORMAL</t>
        </is>
      </c>
    </row>
    <row r="9">
      <c r="A9" s="5" t="n">
        <v>8</v>
      </c>
      <c r="B9" s="5" t="inlineStr">
        <is>
          <t>Recommendation: Derate unit operating pressure to 12.0 bar immediately and schedule clamp enclosure installation.</t>
        </is>
      </c>
      <c r="C9" s="5" t="n">
        <v>12</v>
      </c>
      <c r="D9" s="5" t="inlineStr">
        <is>
          <t>Standard Units</t>
        </is>
      </c>
      <c r="E9" s="5">
        <f>C9*0.05</f>
        <v/>
      </c>
      <c r="F9" s="5" t="inlineStr">
        <is>
          <t>NORMAL</t>
        </is>
      </c>
    </row>
    <row r="10">
      <c r="A10" s="5" t="n">
        <v>9</v>
      </c>
      <c r="B10" s="5" t="inlineStr">
        <is>
          <t>Line 14-P-102 nominal wall thickness: 14.0 mm</t>
        </is>
      </c>
      <c r="C10" s="5" t="n">
        <v>14</v>
      </c>
      <c r="D10" s="5" t="inlineStr">
        <is>
          <t>Standard Units</t>
        </is>
      </c>
      <c r="E10" s="5">
        <f>C10*0.05</f>
        <v/>
      </c>
      <c r="F10" s="5" t="inlineStr">
        <is>
          <t>NORMAL</t>
        </is>
      </c>
    </row>
    <row r="11">
      <c r="A11" s="5" t="n">
        <v>10</v>
      </c>
      <c r="B11" s="5" t="inlineStr">
        <is>
          <t>Measured minimum thickness at Elbow EL-04: 8.2 mm</t>
        </is>
      </c>
      <c r="C11" s="5" t="n">
        <v>4</v>
      </c>
      <c r="D11" s="5" t="inlineStr">
        <is>
          <t>Standard Units</t>
        </is>
      </c>
      <c r="E11" s="5">
        <f>C11*0.05</f>
        <v/>
      </c>
      <c r="F11" s="5" t="inlineStr">
        <is>
          <t>NORMAL</t>
        </is>
      </c>
    </row>
    <row r="12">
      <c r="A12" s="5" t="n">
        <v>11</v>
      </c>
      <c r="B12" s="5" t="inlineStr">
        <is>
          <t>Operating pressure: 22.0 bar, Operating temperature: 340°C</t>
        </is>
      </c>
      <c r="C12" s="5" t="n">
        <v>22</v>
      </c>
      <c r="D12" s="5" t="inlineStr">
        <is>
          <t>Standard Units</t>
        </is>
      </c>
      <c r="E12" s="5">
        <f>C12*0.05</f>
        <v/>
      </c>
      <c r="F12" s="5" t="inlineStr">
        <is>
          <t>NORMAL</t>
        </is>
      </c>
    </row>
    <row r="13">
      <c r="A13" s="5" t="n">
        <v>12</v>
      </c>
      <c r="B13" s="5" t="inlineStr">
        <is>
          <t>Corrosion rate: 2.8 mm/year</t>
        </is>
      </c>
      <c r="C13" s="5" t="n">
        <v>2.8</v>
      </c>
      <c r="D13" s="5" t="inlineStr">
        <is>
          <t>Standard Units</t>
        </is>
      </c>
      <c r="E13" s="5">
        <f>C13*0.05</f>
        <v/>
      </c>
      <c r="F13" s="5" t="inlineStr">
        <is>
          <t>NORMAL</t>
        </is>
      </c>
    </row>
    <row r="14">
      <c r="A14" s="5" t="n">
        <v>13</v>
      </c>
      <c r="B14" s="5" t="inlineStr">
        <is>
          <t>Line 14-P-102 nominal wall thickness: 12.7 mm</t>
        </is>
      </c>
      <c r="C14" s="5" t="n">
        <v>14</v>
      </c>
      <c r="D14" s="5" t="inlineStr">
        <is>
          <t>Standard Units</t>
        </is>
      </c>
      <c r="E14" s="5">
        <f>C14*0.05</f>
        <v/>
      </c>
      <c r="F14" s="5" t="inlineStr">
        <is>
          <t>NORMAL</t>
        </is>
      </c>
    </row>
    <row r="15">
      <c r="A15" s="5" t="n">
        <v>14</v>
      </c>
      <c r="B15" s="5" t="inlineStr">
        <is>
          <t>Measured minimum thickness at Elbow EL-04: 6.8 mm due to naphthenic acid corrosion</t>
        </is>
      </c>
      <c r="C15" s="5" t="n">
        <v>4</v>
      </c>
      <c r="D15" s="5" t="inlineStr">
        <is>
          <t>Standard Units</t>
        </is>
      </c>
      <c r="E15" s="5">
        <f>C15*0.05</f>
        <v/>
      </c>
      <c r="F15" s="5" t="inlineStr">
        <is>
          <t>NORMAL</t>
        </is>
      </c>
    </row>
    <row r="16">
      <c r="A16" s="5" t="n">
        <v>15</v>
      </c>
      <c r="B16" s="5" t="inlineStr">
        <is>
          <t>Operating pressure: 18.5 bar, Operating temperature: 340°C</t>
        </is>
      </c>
      <c r="C16" s="5" t="n">
        <v>18.5</v>
      </c>
      <c r="D16" s="5" t="inlineStr">
        <is>
          <t>Standard Units</t>
        </is>
      </c>
      <c r="E16" s="5">
        <f>C16*0.05</f>
        <v/>
      </c>
      <c r="F16" s="5" t="inlineStr">
        <is>
          <t>NORMAL</t>
        </is>
      </c>
    </row>
    <row r="17">
      <c r="A17" s="5" t="n">
        <v>16</v>
      </c>
      <c r="B17" s="5" t="inlineStr">
        <is>
          <t>Recommendation: Derate unit operating pressure to 12.0 bar immediately and schedule clamp enclosure installation.</t>
        </is>
      </c>
      <c r="C17" s="5" t="n">
        <v>12</v>
      </c>
      <c r="D17" s="5" t="inlineStr">
        <is>
          <t>Standard Units</t>
        </is>
      </c>
      <c r="E17" s="5">
        <f>C17*0.05</f>
        <v/>
      </c>
      <c r="F17" s="5" t="inlineStr">
        <is>
          <t>NORMAL</t>
        </is>
      </c>
    </row>
    <row r="18">
      <c r="A18" s="5" t="n">
        <v>17</v>
      </c>
      <c r="B18" s="5" t="inlineStr">
        <is>
          <t>Line 14-P-102 nominal wall thickness: 12.7 mm</t>
        </is>
      </c>
      <c r="C18" s="5" t="n">
        <v>14</v>
      </c>
      <c r="D18" s="5" t="inlineStr">
        <is>
          <t>Standard Units</t>
        </is>
      </c>
      <c r="E18" s="5">
        <f>C18*0.05</f>
        <v/>
      </c>
      <c r="F18" s="5" t="inlineStr">
        <is>
          <t>NORMAL</t>
        </is>
      </c>
    </row>
    <row r="19">
      <c r="A19" s="5" t="n">
        <v>18</v>
      </c>
      <c r="B19" s="5" t="inlineStr">
        <is>
          <t>Measured minimum thickness at Elbow EL-04: 6.8 mm due to naphthenic acid corrosion</t>
        </is>
      </c>
      <c r="C19" s="5" t="n">
        <v>4</v>
      </c>
      <c r="D19" s="5" t="inlineStr">
        <is>
          <t>Standard Units</t>
        </is>
      </c>
      <c r="E19" s="5">
        <f>C19*0.05</f>
        <v/>
      </c>
      <c r="F19" s="5" t="inlineStr">
        <is>
          <t>NORMAL</t>
        </is>
      </c>
    </row>
    <row r="20">
      <c r="A20" s="5" t="n">
        <v>19</v>
      </c>
      <c r="B20" s="5" t="inlineStr">
        <is>
          <t>Operating pressure: 18.5 bar, Operating temperature: 340°C</t>
        </is>
      </c>
      <c r="C20" s="5" t="n">
        <v>18.5</v>
      </c>
      <c r="D20" s="5" t="inlineStr">
        <is>
          <t>Standard Units</t>
        </is>
      </c>
      <c r="E20" s="5">
        <f>C20*0.05</f>
        <v/>
      </c>
      <c r="F20" s="5" t="inlineStr">
        <is>
          <t>NORMAL</t>
        </is>
      </c>
    </row>
    <row r="21">
      <c r="A21" s="5" t="n">
        <v>20</v>
      </c>
      <c r="B21" s="5" t="inlineStr">
        <is>
          <t>Recommendation: Derate unit operating pressure to 12.0 bar immediately and schedule clamp enclosure installation.</t>
        </is>
      </c>
      <c r="C21" s="5" t="n">
        <v>12</v>
      </c>
      <c r="D21" s="5" t="inlineStr">
        <is>
          <t>Standard Units</t>
        </is>
      </c>
      <c r="E21" s="5">
        <f>C21*0.05</f>
        <v/>
      </c>
      <c r="F21" s="5" t="inlineStr">
        <is>
          <t>NORMAL</t>
        </is>
      </c>
    </row>
    <row r="22">
      <c r="A22" s="5" t="n">
        <v>21</v>
      </c>
      <c r="B22" s="5" t="inlineStr">
        <is>
          <t>Line 14-P-102 nominal wall thickness: 12.7 mm</t>
        </is>
      </c>
      <c r="C22" s="5" t="n">
        <v>14</v>
      </c>
      <c r="D22" s="5" t="inlineStr">
        <is>
          <t>Standard Units</t>
        </is>
      </c>
      <c r="E22" s="5">
        <f>C22*0.05</f>
        <v/>
      </c>
      <c r="F22" s="5" t="inlineStr">
        <is>
          <t>NORMAL</t>
        </is>
      </c>
    </row>
    <row r="23">
      <c r="A23" s="5" t="n">
        <v>22</v>
      </c>
      <c r="B23" s="5" t="inlineStr">
        <is>
          <t>Measured minimum thickness at Elbow EL-04: 6.8 mm due to naphthenic acid corrosion</t>
        </is>
      </c>
      <c r="C23" s="5" t="n">
        <v>4</v>
      </c>
      <c r="D23" s="5" t="inlineStr">
        <is>
          <t>Standard Units</t>
        </is>
      </c>
      <c r="E23" s="5">
        <f>C23*0.05</f>
        <v/>
      </c>
      <c r="F23" s="5" t="inlineStr">
        <is>
          <t>NORMAL</t>
        </is>
      </c>
    </row>
    <row r="24">
      <c r="A24" s="5" t="n">
        <v>23</v>
      </c>
      <c r="B24" s="5" t="inlineStr">
        <is>
          <t>Operating pressure: 18.5 bar, Operating temperature: 340°C</t>
        </is>
      </c>
      <c r="C24" s="5" t="n">
        <v>18.5</v>
      </c>
      <c r="D24" s="5" t="inlineStr">
        <is>
          <t>Standard Units</t>
        </is>
      </c>
      <c r="E24" s="5">
        <f>C24*0.05</f>
        <v/>
      </c>
      <c r="F24" s="5" t="inlineStr">
        <is>
          <t>NORMAL</t>
        </is>
      </c>
    </row>
    <row r="25">
      <c r="A25" s="5" t="n">
        <v>24</v>
      </c>
      <c r="B25" s="5" t="inlineStr">
        <is>
          <t>Recommendation: Derate unit operating pressure to 12.0 bar immediately and schedule clamp enclosure installation.</t>
        </is>
      </c>
      <c r="C25" s="5" t="n">
        <v>12</v>
      </c>
      <c r="D25" s="5" t="inlineStr">
        <is>
          <t>Standard Units</t>
        </is>
      </c>
      <c r="E25" s="5">
        <f>C25*0.05</f>
        <v/>
      </c>
      <c r="F2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  <row r="5">
      <c r="A5" s="5" t="inlineStr">
        <is>
          <t>RSK-04</t>
        </is>
      </c>
      <c r="B5" s="5" t="inlineStr">
        <is>
          <t>High risk of pressure boundary breach under full throughput</t>
        </is>
      </c>
      <c r="C5" s="5" t="n">
        <v>3</v>
      </c>
      <c r="D5" s="5" t="n">
        <v>2</v>
      </c>
      <c r="E5" s="5">
        <f>C5*D5</f>
        <v/>
      </c>
      <c r="F5" s="5" t="inlineStr">
        <is>
          <t>Implement enhanced NDT inspection and thermal monitoring</t>
        </is>
      </c>
    </row>
    <row r="6">
      <c r="A6" s="5" t="inlineStr">
        <is>
          <t>RSK-05</t>
        </is>
      </c>
      <c r="B6" s="5" t="inlineStr">
        <is>
          <t>Corrosion rate: 2.8 mm/year</t>
        </is>
      </c>
      <c r="C6" s="5" t="n">
        <v>3</v>
      </c>
      <c r="D6" s="5" t="n">
        <v>2</v>
      </c>
      <c r="E6" s="5">
        <f>C6*D6</f>
        <v/>
      </c>
      <c r="F6" s="5" t="inlineStr">
        <is>
          <t>Implement enhanced NDT inspection and thermal monitoring</t>
        </is>
      </c>
    </row>
    <row r="7">
      <c r="A7" s="5" t="inlineStr">
        <is>
          <t>RSK-06</t>
        </is>
      </c>
      <c r="B7" s="5" t="inlineStr">
        <is>
          <t>Measured minimum thickness at Elbow EL-04: 6.8 mm due to naphthenic acid corrosion</t>
        </is>
      </c>
      <c r="C7" s="5" t="n">
        <v>3</v>
      </c>
      <c r="D7" s="5" t="n">
        <v>2</v>
      </c>
      <c r="E7" s="5">
        <f>C7*D7</f>
        <v/>
      </c>
      <c r="F7" s="5" t="inlineStr">
        <is>
          <t>Implement enhanced NDT inspection and thermal monitoring</t>
        </is>
      </c>
    </row>
    <row r="8">
      <c r="A8" s="5" t="inlineStr">
        <is>
          <t>RSK-07</t>
        </is>
      </c>
      <c r="B8" s="5" t="inlineStr">
        <is>
          <t>High risk of pressure boundary breach under full throughput</t>
        </is>
      </c>
      <c r="C8" s="5" t="n">
        <v>3</v>
      </c>
      <c r="D8" s="5" t="n">
        <v>2</v>
      </c>
      <c r="E8" s="5">
        <f>C8*D8</f>
        <v/>
      </c>
      <c r="F8" s="5" t="inlineStr">
        <is>
          <t>Implement enhanced NDT inspection and thermal monitoring</t>
        </is>
      </c>
    </row>
    <row r="9">
      <c r="A9" s="5" t="inlineStr">
        <is>
          <t>RSK-08</t>
        </is>
      </c>
      <c r="B9" s="5" t="inlineStr">
        <is>
          <t>Measured minimum thickness at Elbow EL-04: 6.8 mm due to naphthenic acid corrosion</t>
        </is>
      </c>
      <c r="C9" s="5" t="n">
        <v>3</v>
      </c>
      <c r="D9" s="5" t="n">
        <v>2</v>
      </c>
      <c r="E9" s="5">
        <f>C9*D9</f>
        <v/>
      </c>
      <c r="F9" s="5" t="inlineStr">
        <is>
          <t>Implement enhanced NDT inspection and thermal monitoring</t>
        </is>
      </c>
    </row>
    <row r="10">
      <c r="A10" s="5" t="inlineStr">
        <is>
          <t>RSK-09</t>
        </is>
      </c>
      <c r="B10" s="5" t="inlineStr">
        <is>
          <t>High risk of pressure boundary breach under full throughput</t>
        </is>
      </c>
      <c r="C10" s="5" t="n">
        <v>3</v>
      </c>
      <c r="D10" s="5" t="n">
        <v>2</v>
      </c>
      <c r="E10" s="5">
        <f>C10*D10</f>
        <v/>
      </c>
      <c r="F10" s="5" t="inlineStr">
        <is>
          <t>Implement enhanced NDT inspection and thermal monitoring</t>
        </is>
      </c>
    </row>
    <row r="11">
      <c r="A11" s="5" t="inlineStr">
        <is>
          <t>RSK-10</t>
        </is>
      </c>
      <c r="B11" s="5" t="inlineStr">
        <is>
          <t>Measured minimum thickness at Elbow EL-04: 6.8 mm due to naphthenic acid corrosion</t>
        </is>
      </c>
      <c r="C11" s="5" t="n">
        <v>3</v>
      </c>
      <c r="D11" s="5" t="n">
        <v>2</v>
      </c>
      <c r="E11" s="5">
        <f>C11*D11</f>
        <v/>
      </c>
      <c r="F11" s="5" t="inlineStr">
        <is>
          <t>Implement enhanced NDT inspection and thermal monitoring</t>
        </is>
      </c>
    </row>
    <row r="12">
      <c r="A12" s="5" t="inlineStr">
        <is>
          <t>RSK-11</t>
        </is>
      </c>
      <c r="B12" s="5" t="inlineStr">
        <is>
          <t>High risk of pressure boundary breach under full throughput</t>
        </is>
      </c>
      <c r="C12" s="5" t="n">
        <v>3</v>
      </c>
      <c r="D12" s="5" t="n">
        <v>2</v>
      </c>
      <c r="E12" s="5">
        <f>C12*D12</f>
        <v/>
      </c>
      <c r="F12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2026-08-31T20:03:42Z</dcterms:created>
  <dcterms:modified xmlns:dcterms="http://purl.org/dc/terms/" xmlns:xsi="http://www.w3.org/2001/XMLSchema-instance" xsi:type="dcterms:W3CDTF">2026-08-31T20:03:42Z</dcterms:modified>
</cp:coreProperties>
</file>