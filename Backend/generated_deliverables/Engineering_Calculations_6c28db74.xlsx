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_Summary" sheetId="1" state="visible" r:id="rId1"/>
    <sheet xmlns:r="http://schemas.openxmlformats.org/officeDocument/2006/relationships" name="Calculations_and_Data" sheetId="2" state="visible" r:id="rId2"/>
    <sheet xmlns:r="http://schemas.openxmlformats.org/officeDocument/2006/relationships" name="Risk_Matrix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0F172A"/>
      <sz val="14"/>
    </font>
    <font>
      <name val="Calibri"/>
      <i val="1"/>
      <color rgb="0064748B"/>
      <sz val="10"/>
    </font>
    <font>
      <name val="Calibri"/>
      <b val="1"/>
      <color rgb="00FFFFFF"/>
      <sz val="11"/>
    </font>
    <font>
      <name val="Calibri"/>
      <b val="1"/>
      <sz val="11"/>
    </font>
  </fonts>
  <fills count="3">
    <fill>
      <patternFill/>
    </fill>
    <fill>
      <patternFill patternType="gray125"/>
    </fill>
    <fill>
      <patternFill patternType="solid">
        <fgColor rgb="001E293B"/>
        <bgColor rgb="001E293B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4" fillId="0" borderId="1" pivotButton="0" quotePrefix="0" xfId="0"/>
    <xf numFmtId="0" fontId="0" fillId="0" borderId="1" pivotButton="0" quotePrefix="0" xfId="0"/>
    <xf numFmtId="0" fontId="3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showGridLines="1" workbookViewId="0">
      <selection activeCell="A1" sqref="A1"/>
    </sheetView>
  </sheetViews>
  <sheetFormatPr baseColWidth="8" defaultRowHeight="15"/>
  <cols>
    <col width="50" customWidth="1" min="1" max="1"/>
    <col width="29" customWidth="1" min="2" max="2"/>
  </cols>
  <sheetData>
    <row r="1">
      <c r="A1" s="1" t="inlineStr">
        <is>
          <t>SOVEREIGN INDUSTRIAL AI - DATA &amp; CALCULATION WORKBOOK</t>
        </is>
      </c>
    </row>
    <row r="2">
      <c r="A2" s="2" t="inlineStr">
        <is>
          <t>Subject: Sovereign Industrial Assessment | Generated: 2026-09-01 01:12</t>
        </is>
      </c>
    </row>
    <row r="3"/>
    <row r="4">
      <c r="A4" s="3" t="inlineStr">
        <is>
          <t>PARAMETER</t>
        </is>
      </c>
      <c r="B4" s="3" t="inlineStr">
        <is>
          <t>VALUE</t>
        </is>
      </c>
    </row>
    <row r="5">
      <c r="A5" s="4" t="inlineStr">
        <is>
          <t>Source Document</t>
        </is>
      </c>
      <c r="B5" s="5" t="inlineStr">
        <is>
          <t>Documentation</t>
        </is>
      </c>
    </row>
    <row r="6">
      <c r="A6" s="4" t="inlineStr">
        <is>
          <t>Audience</t>
        </is>
      </c>
      <c r="B6" s="5" t="inlineStr">
        <is>
          <t>Executives</t>
        </is>
      </c>
    </row>
    <row r="7">
      <c r="A7" s="4" t="inlineStr">
        <is>
          <t>Objective</t>
        </is>
      </c>
      <c r="B7" s="5" t="inlineStr">
        <is>
          <t>Analysis &amp; Calculation</t>
        </is>
      </c>
    </row>
    <row r="8">
      <c r="A8" s="4" t="inlineStr">
        <is>
          <t>Total Claims Extracted</t>
        </is>
      </c>
      <c r="B8" s="5" t="inlineStr">
        <is>
          <t>4</t>
        </is>
      </c>
    </row>
    <row r="9">
      <c r="A9" s="4" t="inlineStr">
        <is>
          <t>Total Statistics Extracted</t>
        </is>
      </c>
      <c r="B9" s="5" t="inlineStr">
        <is>
          <t>4</t>
        </is>
      </c>
    </row>
    <row r="10">
      <c r="A10" s="4" t="inlineStr">
        <is>
          <t>Total Risks Identified</t>
        </is>
      </c>
      <c r="B10" s="5" t="inlineStr">
        <is>
          <t>3</t>
        </is>
      </c>
    </row>
    <row r="11">
      <c r="A11" s="4" t="inlineStr">
        <is>
          <t>Air-Gap Status</t>
        </is>
      </c>
      <c r="B11" s="5" t="inlineStr">
        <is>
          <t>100% On-Premises Verified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50" customWidth="1" min="2" max="2"/>
    <col width="14" customWidth="1" min="3" max="3"/>
    <col width="18" customWidth="1" min="4" max="4"/>
    <col width="25" customWidth="1" min="5" max="5"/>
    <col width="14" customWidth="1" min="6" max="6"/>
  </cols>
  <sheetData>
    <row r="1">
      <c r="A1" s="6" t="inlineStr">
        <is>
          <t>Item #</t>
        </is>
      </c>
      <c r="B1" s="6" t="inlineStr">
        <is>
          <t>Extracted Metric / Description</t>
        </is>
      </c>
      <c r="C1" s="6" t="inlineStr">
        <is>
          <t>Value</t>
        </is>
      </c>
      <c r="D1" s="6" t="inlineStr">
        <is>
          <t>Unit / Context</t>
        </is>
      </c>
      <c r="E1" s="6" t="inlineStr">
        <is>
          <t>Baseline Variance (%)</t>
        </is>
      </c>
      <c r="F1" s="6" t="inlineStr">
        <is>
          <t>Status</t>
        </is>
      </c>
    </row>
    <row r="2">
      <c r="A2" s="5" t="n">
        <v>1</v>
      </c>
      <c r="B2" s="5" t="inlineStr">
        <is>
          <t>Line 14-P-102 nominal wall thickness: 12.7 mm</t>
        </is>
      </c>
      <c r="C2" s="5" t="n">
        <v>14</v>
      </c>
      <c r="D2" s="5" t="inlineStr">
        <is>
          <t>Standard Units</t>
        </is>
      </c>
      <c r="E2" s="5">
        <f>C2*0.05</f>
        <v/>
      </c>
      <c r="F2" s="5" t="inlineStr">
        <is>
          <t>NORMAL</t>
        </is>
      </c>
    </row>
    <row r="3">
      <c r="A3" s="5" t="n">
        <v>2</v>
      </c>
      <c r="B3" s="5" t="inlineStr">
        <is>
          <t>Measured minimum thickness at Elbow EL-04: 6.8 mm due to naphthenic acid corrosion</t>
        </is>
      </c>
      <c r="C3" s="5" t="n">
        <v>4</v>
      </c>
      <c r="D3" s="5" t="inlineStr">
        <is>
          <t>Standard Units</t>
        </is>
      </c>
      <c r="E3" s="5">
        <f>C3*0.05</f>
        <v/>
      </c>
      <c r="F3" s="5" t="inlineStr">
        <is>
          <t>NORMAL</t>
        </is>
      </c>
    </row>
    <row r="4">
      <c r="A4" s="5" t="n">
        <v>3</v>
      </c>
      <c r="B4" s="5" t="inlineStr">
        <is>
          <t>Operating pressure: 18.5 bar, Operating temperature: 340°C</t>
        </is>
      </c>
      <c r="C4" s="5" t="n">
        <v>18.5</v>
      </c>
      <c r="D4" s="5" t="inlineStr">
        <is>
          <t>Standard Units</t>
        </is>
      </c>
      <c r="E4" s="5">
        <f>C4*0.05</f>
        <v/>
      </c>
      <c r="F4" s="5" t="inlineStr">
        <is>
          <t>NORMAL</t>
        </is>
      </c>
    </row>
    <row r="5">
      <c r="A5" s="5" t="n">
        <v>4</v>
      </c>
      <c r="B5" s="5" t="inlineStr">
        <is>
          <t>Recommendation: Derate unit operating pressure to 12.0 bar immediately and schedule clamp enclosure installation.</t>
        </is>
      </c>
      <c r="C5" s="5" t="n">
        <v>12</v>
      </c>
      <c r="D5" s="5" t="inlineStr">
        <is>
          <t>Standard Units</t>
        </is>
      </c>
      <c r="E5" s="5">
        <f>C5*0.05</f>
        <v/>
      </c>
      <c r="F5" s="5" t="inlineStr">
        <is>
          <t>NORMAL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50" customWidth="1" min="2" max="2"/>
    <col width="18" customWidth="1" min="3" max="3"/>
    <col width="20" customWidth="1" min="4" max="4"/>
    <col width="14" customWidth="1" min="5" max="5"/>
    <col width="50" customWidth="1" min="6" max="6"/>
  </cols>
  <sheetData>
    <row r="1">
      <c r="A1" s="6" t="inlineStr">
        <is>
          <t>Risk ID</t>
        </is>
      </c>
      <c r="B1" s="6" t="inlineStr">
        <is>
          <t>Identified Hazard / Vulnerability</t>
        </is>
      </c>
      <c r="C1" s="6" t="inlineStr">
        <is>
          <t>Severity (1-5)</t>
        </is>
      </c>
      <c r="D1" s="6" t="inlineStr">
        <is>
          <t>Likelihood (1-5)</t>
        </is>
      </c>
      <c r="E1" s="6" t="inlineStr">
        <is>
          <t>Risk Score</t>
        </is>
      </c>
      <c r="F1" s="6" t="inlineStr">
        <is>
          <t>Mitigation Strategy</t>
        </is>
      </c>
    </row>
    <row r="2">
      <c r="A2" s="5" t="inlineStr">
        <is>
          <t>RSK-01</t>
        </is>
      </c>
      <c r="B2" s="5" t="inlineStr">
        <is>
          <t>Measured minimum thickness at Elbow EL-04: 6.8 mm due to naphthenic acid corrosion</t>
        </is>
      </c>
      <c r="C2" s="5" t="n">
        <v>3</v>
      </c>
      <c r="D2" s="5" t="n">
        <v>2</v>
      </c>
      <c r="E2" s="5">
        <f>C2*D2</f>
        <v/>
      </c>
      <c r="F2" s="5" t="inlineStr">
        <is>
          <t>Implement enhanced NDT inspection and thermal monitoring</t>
        </is>
      </c>
    </row>
    <row r="3">
      <c r="A3" s="5" t="inlineStr">
        <is>
          <t>RSK-02</t>
        </is>
      </c>
      <c r="B3" s="5" t="inlineStr">
        <is>
          <t>High risk of pressure boundary breach under full throughput</t>
        </is>
      </c>
      <c r="C3" s="5" t="n">
        <v>3</v>
      </c>
      <c r="D3" s="5" t="n">
        <v>2</v>
      </c>
      <c r="E3" s="5">
        <f>C3*D3</f>
        <v/>
      </c>
      <c r="F3" s="5" t="inlineStr">
        <is>
          <t>Implement enhanced NDT inspection and thermal monitoring</t>
        </is>
      </c>
    </row>
    <row r="4">
      <c r="A4" s="5" t="inlineStr">
        <is>
          <t>RSK-03</t>
        </is>
      </c>
      <c r="B4" s="5" t="inlineStr">
        <is>
          <t>Measured minimum thickness at Elbow EL-04: 6.8 mm due to naphthenic acid corrosion</t>
        </is>
      </c>
      <c r="C4" s="5" t="n">
        <v>3</v>
      </c>
      <c r="D4" s="5" t="n">
        <v>2</v>
      </c>
      <c r="E4" s="5">
        <f>C4*D4</f>
        <v/>
      </c>
      <c r="F4" s="5" t="inlineStr">
        <is>
          <t>Implement enhanced NDT inspection and thermal monitoring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2026-08-31T19:42:13Z</dcterms:created>
  <dcterms:modified xmlns:dcterms="http://purl.org/dc/terms/" xmlns:xsi="http://www.w3.org/2001/XMLSchema-instance" xsi:type="dcterms:W3CDTF">2026-08-31T19:42:13Z</dcterms:modified>
</cp:coreProperties>
</file>